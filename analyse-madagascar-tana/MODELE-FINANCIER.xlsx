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Paramètres" sheetId="2" state="visible" r:id="rId2"/>
    <sheet name="A-Numerique" sheetId="3" state="visible" r:id="rId3"/>
    <sheet name="B-Achats" sheetId="4" state="visible" r:id="rId4"/>
    <sheet name="C-Logistique" sheetId="5" state="visible" r:id="rId5"/>
    <sheet name="D-Eau" sheetId="6" state="visible" r:id="rId6"/>
    <sheet name="E-Solaire" sheetId="7" state="visible" r:id="rId7"/>
    <sheet name="Compara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 &quot;€&quot;"/>
    <numFmt numFmtId="166" formatCode="0.0"/>
    <numFmt numFmtId="167" formatCode="#,##0 &quot;Ar&quot;"/>
    <numFmt numFmtId="168" formatCode="0.0 &quot;mois&quot;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C6B76"/>
      <sz val="9"/>
    </font>
    <font>
      <b val="1"/>
      <color rgb="00FFFFFF"/>
      <sz val="10"/>
    </font>
    <font>
      <sz val="10"/>
    </font>
    <font>
      <b val="1"/>
      <sz val="10"/>
    </font>
    <font>
      <color rgb="005C6B76"/>
      <sz val="9"/>
    </font>
    <font>
      <b val="1"/>
      <color rgb="000D6A5B"/>
      <sz val="9"/>
    </font>
    <font>
      <i val="1"/>
      <color rgb="007A8791"/>
      <sz val="8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01F2B"/>
      </patternFill>
    </fill>
    <fill>
      <patternFill patternType="solid">
        <fgColor rgb="00B8432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CEFE9"/>
      </patternFill>
    </fill>
  </fills>
  <borders count="2">
    <border>
      <left/>
      <right/>
      <top/>
      <bottom/>
      <diagonal/>
    </border>
    <border>
      <left style="thin">
        <color rgb="00D9D4CA"/>
      </left>
      <right style="thin">
        <color rgb="00D9D4CA"/>
      </right>
      <top style="thin">
        <color rgb="00D9D4CA"/>
      </top>
      <bottom style="thin">
        <color rgb="00D9D4C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0" applyAlignment="1" pivotButton="0" quotePrefix="0" xfId="0">
      <alignment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5" fillId="4" borderId="1" applyAlignment="1" pivotButton="0" quotePrefix="0" xfId="0">
      <alignment horizontal="right"/>
    </xf>
    <xf numFmtId="0" fontId="8" fillId="0" borderId="0" pivotButton="0" quotePrefix="0" xfId="0"/>
    <xf numFmtId="1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5" fillId="4" borderId="1" applyAlignment="1" pivotButton="0" quotePrefix="0" xfId="0">
      <alignment horizontal="right"/>
    </xf>
    <xf numFmtId="167" fontId="5" fillId="4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167" fontId="5" fillId="5" borderId="1" applyAlignment="1" pivotButton="0" quotePrefix="0" xfId="0">
      <alignment horizontal="right"/>
    </xf>
    <xf numFmtId="167" fontId="4" fillId="5" borderId="1" applyAlignment="1" pivotButton="0" quotePrefix="0" xfId="0">
      <alignment horizontal="right"/>
    </xf>
    <xf numFmtId="167" fontId="5" fillId="6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168" fontId="5" fillId="5" borderId="1" applyAlignment="1" pivotButton="0" quotePrefix="0" xfId="0">
      <alignment horizontal="right"/>
    </xf>
    <xf numFmtId="0" fontId="9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3" fontId="4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5" fillId="0" borderId="1" pivotButton="0" quotePrefix="0" xfId="0"/>
    <xf numFmtId="168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62" customWidth="1" min="3" max="3"/>
    <col width="10" customWidth="1" min="4" max="4"/>
    <col width="10" customWidth="1" min="5" max="5"/>
    <col width="10" customWidth="1" min="6" max="6"/>
  </cols>
  <sheetData>
    <row r="1" ht="34" customHeight="1">
      <c r="A1" s="1" t="inlineStr">
        <is>
          <t>MODÈLE FINANCIER — 5 business à Antananarivo (2026)</t>
        </is>
      </c>
    </row>
    <row r="2">
      <c r="A2" s="2" t="inlineStr">
        <is>
          <t>Compagnon du rapport RAPPORT.html · toutes les cellules jaunes sont modifiables</t>
        </is>
      </c>
    </row>
    <row r="4" ht="22" customHeight="1">
      <c r="A4" s="3" t="inlineStr">
        <is>
          <t>MODE D'EMPLOI</t>
        </is>
      </c>
    </row>
    <row r="5">
      <c r="A5" s="4" t="inlineStr">
        <is>
          <t>1. Cellules jaunes = hypothèses à adapter à votre situation.</t>
        </is>
      </c>
    </row>
    <row r="6">
      <c r="A6" s="4" t="inlineStr">
        <is>
          <t>2. Cellules grises = calculs automatiques (ne pas saisir).</t>
        </is>
      </c>
    </row>
    <row r="7">
      <c r="A7" s="4" t="inlineStr">
        <is>
          <t>3. Chaque onglet est indépendant : modifiez volumes, prix et charges, tout se recalcule.</t>
        </is>
      </c>
    </row>
    <row r="8">
      <c r="A8" s="4" t="inlineStr">
        <is>
          <t>4. Montants mensuels, hors impôts (impôt synthétique 5 % ou IR 20 %).</t>
        </is>
      </c>
    </row>
    <row r="9">
      <c r="A9" s="4" t="inlineStr">
        <is>
          <t>5. Les résultats sont des estimations de travail, pas des garanties.</t>
        </is>
      </c>
    </row>
    <row r="11" ht="22" customHeight="1">
      <c r="A11" s="3" t="inlineStr">
        <is>
          <t>LES 5 MODÈLES</t>
        </is>
      </c>
    </row>
    <row r="12">
      <c r="A12" s="5" t="inlineStr">
        <is>
          <t>A — Micro-agence numérique à l'export</t>
        </is>
      </c>
      <c r="B12" s="4" t="inlineStr">
        <is>
          <t>Capital 1,5 M Ar</t>
        </is>
      </c>
      <c r="C12" s="6" t="inlineStr">
        <is>
          <t>Facturation en euros, marge nette 50-65 %</t>
        </is>
      </c>
      <c r="E12" s="7" t="inlineStr">
        <is>
          <t>A-Numerique</t>
        </is>
      </c>
    </row>
    <row r="13">
      <c r="A13" s="5" t="inlineStr">
        <is>
          <t>B — Achats groupés de quartier</t>
        </is>
      </c>
      <c r="B13" s="4" t="inlineStr">
        <is>
          <t>Capital 0-1 M Ar</t>
        </is>
      </c>
      <c r="C13" s="6" t="inlineStr">
        <is>
          <t>Précommande + mobile money, marge 6-10 % du GMV</t>
        </is>
      </c>
      <c r="E13" s="7" t="inlineStr">
        <is>
          <t>B-Achats</t>
        </is>
      </c>
    </row>
    <row r="14">
      <c r="A14" s="5" t="inlineStr">
        <is>
          <t>C — Logistique urbaine B2B</t>
        </is>
      </c>
      <c r="B14" s="4" t="inlineStr">
        <is>
          <t>Capital 5-15 M Ar</t>
        </is>
      </c>
      <c r="C14" s="6" t="inlineStr">
        <is>
          <t>Coursier moto, abonnements entreprises</t>
        </is>
      </c>
      <c r="E14" s="7" t="inlineStr">
        <is>
          <t>C-Logistique</t>
        </is>
      </c>
    </row>
    <row r="15">
      <c r="A15" s="5" t="inlineStr">
        <is>
          <t>D — Eau : abonnement et kiosque</t>
        </is>
      </c>
      <c r="B15" s="4" t="inlineStr">
        <is>
          <t>Capital 4,5-12 M Ar</t>
        </is>
      </c>
      <c r="C15" s="6" t="inlineStr">
        <is>
          <t>Bonbonnes 20 L, contrats bureaux</t>
        </is>
      </c>
      <c r="E15" s="7" t="inlineStr">
        <is>
          <t>D-Eau</t>
        </is>
      </c>
    </row>
    <row r="16">
      <c r="A16" s="5" t="inlineStr">
        <is>
          <t>E — Froid &amp; solaire</t>
        </is>
      </c>
      <c r="B16" s="4" t="inlineStr">
        <is>
          <t>Capital 3-5 M Ar</t>
        </is>
      </c>
      <c r="C16" s="6" t="inlineStr">
        <is>
          <t>Installation + maintenance, acompte client</t>
        </is>
      </c>
      <c r="E16" s="7" t="inlineStr">
        <is>
          <t>E-Solaire</t>
        </is>
      </c>
    </row>
    <row r="18" ht="22" customHeight="1">
      <c r="A18" s="3" t="inlineStr">
        <is>
          <t>RAPPELS DE COÛTS 2026 (à vérifier avant usage)</t>
        </is>
      </c>
    </row>
    <row r="19">
      <c r="A19" s="4" t="inlineStr">
        <is>
          <t>Taux de change de travail</t>
        </is>
      </c>
      <c r="B19" s="5" t="inlineStr">
        <is>
          <t>1 € = 4 800 Ar</t>
        </is>
      </c>
    </row>
    <row r="20">
      <c r="A20" s="4" t="inlineStr">
        <is>
          <t>SMIG</t>
        </is>
      </c>
      <c r="B20" s="5" t="inlineStr">
        <is>
          <t>300 000 Ar/mois</t>
        </is>
      </c>
    </row>
    <row r="21">
      <c r="A21" s="4" t="inlineStr">
        <is>
          <t>Charges patronales CNaPS</t>
        </is>
      </c>
      <c r="B21" s="5" t="inlineStr">
        <is>
          <t>≈ 13 %</t>
        </is>
      </c>
    </row>
    <row r="22">
      <c r="A22" s="4" t="inlineStr">
        <is>
          <t>Carburant SP95 / gasoil</t>
        </is>
      </c>
      <c r="B22" s="5" t="inlineStr">
        <is>
          <t>5 300 / 4 860 Ar par litre</t>
        </is>
      </c>
    </row>
    <row r="23">
      <c r="A23" s="4" t="inlineStr">
        <is>
          <t>Impôt synthétique / IR</t>
        </is>
      </c>
      <c r="B23" s="5" t="inlineStr">
        <is>
          <t>5 % du CA / 20 % du bénéfice</t>
        </is>
      </c>
    </row>
    <row r="24">
      <c r="A24" s="4" t="inlineStr">
        <is>
          <t>TVA</t>
        </is>
      </c>
      <c r="B24" s="5" t="inlineStr">
        <is>
          <t>20 % (seuil à confirmer auprès de la DGI)</t>
        </is>
      </c>
    </row>
    <row r="25">
      <c r="A25" s="4" t="inlineStr">
        <is>
          <t>Microfinance</t>
        </is>
      </c>
      <c r="B25" s="5" t="inlineStr">
        <is>
          <t>1,3 à 2,5 % par mois</t>
        </is>
      </c>
    </row>
    <row r="26">
      <c r="A26" s="4" t="inlineStr">
        <is>
          <t>Taux directeur BFM</t>
        </is>
      </c>
      <c r="B26" s="5" t="inlineStr">
        <is>
          <t>12 %</t>
        </is>
      </c>
    </row>
  </sheetData>
  <mergeCells count="10">
    <mergeCell ref="A2:F2"/>
    <mergeCell ref="A11:F11"/>
    <mergeCell ref="A5:C5"/>
    <mergeCell ref="A1:F1"/>
    <mergeCell ref="A8:C8"/>
    <mergeCell ref="A6:C6"/>
    <mergeCell ref="A9:C9"/>
    <mergeCell ref="A18:F18"/>
    <mergeCell ref="A4:F4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Paramètres généraux</t>
        </is>
      </c>
    </row>
    <row r="2">
      <c r="A2" s="2" t="inlineStr">
        <is>
          <t>Ces valeurs alimentent les autres onglets</t>
        </is>
      </c>
    </row>
    <row r="4" ht="22" customHeight="1">
      <c r="A4" s="3" t="inlineStr">
        <is>
          <t>HYPOTHÈSES COMMUNES</t>
        </is>
      </c>
    </row>
    <row r="5">
      <c r="A5" s="4" t="inlineStr">
        <is>
          <t>Taux de change (Ar pour 1 €)</t>
        </is>
      </c>
      <c r="B5" s="8" t="n">
        <v>4800</v>
      </c>
      <c r="C5" s="9" t="inlineStr">
        <is>
          <t>à réactualiser chaque mois</t>
        </is>
      </c>
    </row>
    <row r="6">
      <c r="A6" s="4" t="inlineStr">
        <is>
          <t>Jours d'activité par mois</t>
        </is>
      </c>
      <c r="B6" s="10" t="n">
        <v>26</v>
      </c>
    </row>
    <row r="7">
      <c r="A7" s="4" t="inlineStr">
        <is>
          <t>Charges sociales patronales (CNaPS)</t>
        </is>
      </c>
      <c r="B7" s="11" t="n">
        <v>0.13</v>
      </c>
    </row>
    <row r="8">
      <c r="A8" s="4" t="inlineStr">
        <is>
          <t>Impôt synthétique (information)</t>
        </is>
      </c>
      <c r="B8" s="11" t="n">
        <v>0.05</v>
      </c>
      <c r="C8" s="9" t="inlineStr">
        <is>
          <t>non déduit dans les calculs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PLAN A — Micro-agence numérique à l'export</t>
        </is>
      </c>
    </row>
    <row r="2">
      <c r="A2" s="2" t="inlineStr">
        <is>
          <t>Vendre en euros une compétence produite à coût local</t>
        </is>
      </c>
    </row>
    <row r="4" ht="22" customHeight="1">
      <c r="A4" s="3" t="inlineStr">
        <is>
          <t>HYPOTHÈSES (à modifier)</t>
        </is>
      </c>
    </row>
    <row r="5">
      <c r="A5" s="4" t="inlineStr">
        <is>
          <t>Clients en abonnement</t>
        </is>
      </c>
      <c r="B5" s="10" t="n">
        <v>2</v>
      </c>
      <c r="C5" s="9" t="inlineStr">
        <is>
          <t>objectif à 6 mois</t>
        </is>
      </c>
    </row>
    <row r="6">
      <c r="A6" s="4" t="inlineStr">
        <is>
          <t>Prix moyen de l'abonnement (€/mois/client)</t>
        </is>
      </c>
      <c r="B6" s="12" t="n">
        <v>750</v>
      </c>
      <c r="C6" s="9" t="inlineStr">
        <is>
          <t>marché : 700-1 200 €</t>
        </is>
      </c>
    </row>
    <row r="7">
      <c r="A7" s="4" t="inlineStr">
        <is>
          <t>Projets ponctuels par mois</t>
        </is>
      </c>
      <c r="B7" s="13" t="n">
        <v>1</v>
      </c>
    </row>
    <row r="8">
      <c r="A8" s="4" t="inlineStr">
        <is>
          <t>Prix moyen d'un projet (€)</t>
        </is>
      </c>
      <c r="B8" s="12" t="n">
        <v>400</v>
      </c>
      <c r="C8" s="9" t="inlineStr">
        <is>
          <t>moyenne lissée</t>
        </is>
      </c>
    </row>
    <row r="9">
      <c r="A9" s="4" t="inlineStr">
        <is>
          <t>Salaire du fondateur (Ar)</t>
        </is>
      </c>
      <c r="B9" s="14" t="n">
        <v>1200000</v>
      </c>
    </row>
    <row r="10">
      <c r="A10" s="4" t="inlineStr">
        <is>
          <t>Salaire d'un développeur (Ar)</t>
        </is>
      </c>
      <c r="B10" s="14" t="n">
        <v>900000</v>
      </c>
      <c r="C10" s="9" t="inlineStr">
        <is>
          <t>profil confirmé</t>
        </is>
      </c>
    </row>
    <row r="11">
      <c r="A11" s="4" t="inlineStr">
        <is>
          <t>Nombre de développeurs</t>
        </is>
      </c>
      <c r="B11" s="10" t="n">
        <v>1</v>
      </c>
    </row>
    <row r="12">
      <c r="A12" s="4" t="inlineStr">
        <is>
          <t>Charges sociales</t>
        </is>
      </c>
      <c r="B12" s="11" t="n">
        <v>0.13</v>
      </c>
    </row>
    <row r="13">
      <c r="A13" s="4" t="inlineStr">
        <is>
          <t>Internet + sauvegarde électrique (Ar)</t>
        </is>
      </c>
      <c r="B13" s="14" t="n">
        <v>400000</v>
      </c>
      <c r="C13" s="9" t="inlineStr">
        <is>
          <t>onduleur / solaire</t>
        </is>
      </c>
    </row>
    <row r="14">
      <c r="A14" s="4" t="inlineStr">
        <is>
          <t>Outils logiciels (Ar)</t>
        </is>
      </c>
      <c r="B14" s="14" t="n">
        <v>250000</v>
      </c>
      <c r="C14" s="9" t="inlineStr">
        <is>
          <t>GitHub, Figma, hébergement, IA</t>
        </is>
      </c>
    </row>
    <row r="15">
      <c r="A15" s="4" t="inlineStr">
        <is>
          <t>Prospection et marketing (Ar)</t>
        </is>
      </c>
      <c r="B15" s="14" t="n">
        <v>300000</v>
      </c>
    </row>
    <row r="16">
      <c r="A16" s="4" t="inlineStr">
        <is>
          <t>Comptabilité, banque, divers (Ar)</t>
        </is>
      </c>
      <c r="B16" s="14" t="n">
        <v>200000</v>
      </c>
    </row>
    <row r="17">
      <c r="A17" s="4" t="inlineStr">
        <is>
          <t>Investissement initial (Ar)</t>
        </is>
      </c>
      <c r="B17" s="14" t="n">
        <v>1500000</v>
      </c>
      <c r="C17" s="9" t="inlineStr">
        <is>
          <t>hors ordinateurs déjà possédés</t>
        </is>
      </c>
    </row>
    <row r="19" ht="22" customHeight="1">
      <c r="A19" s="3" t="inlineStr">
        <is>
          <t>RÉSULTATS (calculés)</t>
        </is>
      </c>
    </row>
    <row r="20">
      <c r="A20" s="5" t="inlineStr">
        <is>
          <t>Chiffre d'affaires mensuel (€)</t>
        </is>
      </c>
      <c r="B20" s="15">
        <f>B5*B6+B7*B8</f>
        <v/>
      </c>
    </row>
    <row r="21">
      <c r="A21" s="5" t="inlineStr">
        <is>
          <t>Chiffre d'affaires mensuel (Ar)</t>
        </is>
      </c>
      <c r="B21" s="16">
        <f>B20*Paramètres!$B$5</f>
        <v/>
      </c>
    </row>
    <row r="22">
      <c r="A22" s="4" t="inlineStr">
        <is>
          <t>Charges salariales</t>
        </is>
      </c>
      <c r="B22" s="17">
        <f>(B9+B10*B11)*(1+B12)</f>
        <v/>
      </c>
    </row>
    <row r="23">
      <c r="A23" s="4" t="inlineStr">
        <is>
          <t>Autres charges</t>
        </is>
      </c>
      <c r="B23" s="17">
        <f>B13+B14+B15+B16</f>
        <v/>
      </c>
    </row>
    <row r="24">
      <c r="A24" s="5" t="inlineStr">
        <is>
          <t>Total des charges</t>
        </is>
      </c>
      <c r="B24" s="16">
        <f>B22+B23</f>
        <v/>
      </c>
    </row>
    <row r="25">
      <c r="A25" s="5" t="inlineStr">
        <is>
          <t>RÉSULTAT NET MENSUEL</t>
        </is>
      </c>
      <c r="B25" s="18">
        <f>B21-B24</f>
        <v/>
      </c>
    </row>
    <row r="26">
      <c r="A26" s="5" t="inlineStr">
        <is>
          <t>Marge nette</t>
        </is>
      </c>
      <c r="B26" s="19">
        <f>IF(B21=0,0,B25/B21)</f>
        <v/>
      </c>
    </row>
    <row r="27">
      <c r="A27" s="5" t="inlineStr">
        <is>
          <t>Seuil de rentabilité (€ / mois)</t>
        </is>
      </c>
      <c r="B27" s="15">
        <f>B24/Paramètres!$B$5</f>
        <v/>
      </c>
    </row>
    <row r="28">
      <c r="A28" s="5" t="inlineStr">
        <is>
          <t>Retour sur investissement</t>
        </is>
      </c>
      <c r="B28" s="20">
        <f>IF(B25&gt;0,B17/B25,"non rentable")</f>
        <v/>
      </c>
    </row>
    <row r="29">
      <c r="A29" s="4" t="inlineStr">
        <is>
          <t>Chiffre d'affaires annualisé</t>
        </is>
      </c>
      <c r="B29" s="17">
        <f>B21*12</f>
        <v/>
      </c>
    </row>
    <row r="30">
      <c r="A30" s="4" t="inlineStr">
        <is>
          <t>Résultat net annualisé</t>
        </is>
      </c>
      <c r="B30" s="17">
        <f>B25*12</f>
        <v/>
      </c>
    </row>
    <row r="32" ht="22" customHeight="1">
      <c r="A32" s="3" t="inlineStr">
        <is>
          <t>SENSIBILITÉ — nombre de clients en abonnement</t>
        </is>
      </c>
    </row>
    <row r="33">
      <c r="A33" s="21" t="inlineStr">
        <is>
          <t>Clients</t>
        </is>
      </c>
      <c r="B33" s="21" t="inlineStr">
        <is>
          <t>CA mensuel (€)</t>
        </is>
      </c>
      <c r="C33" s="21" t="inlineStr">
        <is>
          <t>CA mensuel (Ar)</t>
        </is>
      </c>
      <c r="D33" s="21" t="inlineStr">
        <is>
          <t>Charges (Ar)</t>
        </is>
      </c>
      <c r="E33" s="21" t="inlineStr">
        <is>
          <t>Résultat net (Ar)</t>
        </is>
      </c>
      <c r="F33" s="21" t="inlineStr">
        <is>
          <t>Marge</t>
        </is>
      </c>
    </row>
    <row r="34">
      <c r="A34" s="22" t="n">
        <v>1</v>
      </c>
      <c r="B34" s="23">
        <f>A34*B6+B7*B8</f>
        <v/>
      </c>
      <c r="C34" s="24">
        <f>B34*Paramètres!$B$5</f>
        <v/>
      </c>
      <c r="D34" s="24">
        <f>B24</f>
        <v/>
      </c>
      <c r="E34" s="24">
        <f>C34-D34</f>
        <v/>
      </c>
      <c r="F34" s="25">
        <f>IF(C34=0,0,E34/C34)</f>
        <v/>
      </c>
    </row>
    <row r="35">
      <c r="A35" s="22" t="n">
        <v>2</v>
      </c>
      <c r="B35" s="23">
        <f>A35*B6+B7*B8</f>
        <v/>
      </c>
      <c r="C35" s="24">
        <f>B35*Paramètres!$B$5</f>
        <v/>
      </c>
      <c r="D35" s="24">
        <f>B24</f>
        <v/>
      </c>
      <c r="E35" s="24">
        <f>C35-D35</f>
        <v/>
      </c>
      <c r="F35" s="25">
        <f>IF(C35=0,0,E35/C35)</f>
        <v/>
      </c>
    </row>
    <row r="36">
      <c r="A36" s="22" t="n">
        <v>3</v>
      </c>
      <c r="B36" s="23">
        <f>A36*B6+B7*B8</f>
        <v/>
      </c>
      <c r="C36" s="24">
        <f>B36*Paramètres!$B$5</f>
        <v/>
      </c>
      <c r="D36" s="24">
        <f>B24</f>
        <v/>
      </c>
      <c r="E36" s="24">
        <f>C36-D36</f>
        <v/>
      </c>
      <c r="F36" s="25">
        <f>IF(C36=0,0,E36/C36)</f>
        <v/>
      </c>
    </row>
    <row r="37">
      <c r="A37" s="22" t="n">
        <v>4</v>
      </c>
      <c r="B37" s="23">
        <f>A37*B6+B7*B8</f>
        <v/>
      </c>
      <c r="C37" s="24">
        <f>B37*Paramètres!$B$5</f>
        <v/>
      </c>
      <c r="D37" s="24">
        <f>B24</f>
        <v/>
      </c>
      <c r="E37" s="24">
        <f>C37-D37</f>
        <v/>
      </c>
      <c r="F37" s="25">
        <f>IF(C37=0,0,E37/C37)</f>
        <v/>
      </c>
    </row>
    <row r="38">
      <c r="A38" s="22" t="n">
        <v>5</v>
      </c>
      <c r="B38" s="23">
        <f>A38*B6+B7*B8</f>
        <v/>
      </c>
      <c r="C38" s="24">
        <f>B38*Paramètres!$B$5</f>
        <v/>
      </c>
      <c r="D38" s="24">
        <f>B24</f>
        <v/>
      </c>
      <c r="E38" s="24">
        <f>C38-D38</f>
        <v/>
      </c>
      <c r="F38" s="25">
        <f>IF(C38=0,0,E38/C38)</f>
        <v/>
      </c>
    </row>
  </sheetData>
  <mergeCells count="5">
    <mergeCell ref="A2:F2"/>
    <mergeCell ref="A19:F19"/>
    <mergeCell ref="A1:F1"/>
    <mergeCell ref="A32:F32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PLAN B — Achats groupés de quartier</t>
        </is>
      </c>
    </row>
    <row r="2">
      <c r="A2" s="2" t="inlineStr">
        <is>
          <t>Précommande payée → achat groupé → livraison hebdomadaire</t>
        </is>
      </c>
    </row>
    <row r="4" ht="22" customHeight="1">
      <c r="A4" s="3" t="inlineStr">
        <is>
          <t>HYPOTHÈSES (à modifier)</t>
        </is>
      </c>
    </row>
    <row r="5">
      <c r="A5" s="4" t="inlineStr">
        <is>
          <t>Panier moyen par commande (Ar)</t>
        </is>
      </c>
      <c r="B5" s="14" t="n">
        <v>90000</v>
      </c>
      <c r="C5" s="9" t="inlineStr">
        <is>
          <t>riz 25 kg + huile + sucre</t>
        </is>
      </c>
    </row>
    <row r="6">
      <c r="A6" s="4" t="inlineStr">
        <is>
          <t>Clients actifs</t>
        </is>
      </c>
      <c r="B6" s="10" t="n">
        <v>250</v>
      </c>
    </row>
    <row r="7">
      <c r="A7" s="4" t="inlineStr">
        <is>
          <t>Commandes par client et par mois</t>
        </is>
      </c>
      <c r="B7" s="13" t="n">
        <v>1.5</v>
      </c>
    </row>
    <row r="8">
      <c r="A8" s="4" t="inlineStr">
        <is>
          <t>Marge brute moyenne</t>
        </is>
      </c>
      <c r="B8" s="11" t="n">
        <v>0.08</v>
      </c>
      <c r="C8" s="9" t="inlineStr">
        <is>
          <t>riz 5-7 %, gaz 10-12 %</t>
        </is>
      </c>
    </row>
    <row r="9">
      <c r="A9" s="4" t="inlineStr">
        <is>
          <t>Assistant (Ar)</t>
        </is>
      </c>
      <c r="B9" s="14" t="n">
        <v>400000</v>
      </c>
    </row>
    <row r="10">
      <c r="A10" s="4" t="inlineStr">
        <is>
          <t>Transport et manutention (Ar)</t>
        </is>
      </c>
      <c r="B10" s="14" t="n">
        <v>250000</v>
      </c>
      <c r="C10" s="9" t="inlineStr">
        <is>
          <t>camion loué à la journée</t>
        </is>
      </c>
    </row>
    <row r="11">
      <c r="A11" s="4" t="inlineStr">
        <is>
          <t>Emballage et impression (Ar)</t>
        </is>
      </c>
      <c r="B11" s="14" t="n">
        <v>80000</v>
      </c>
    </row>
    <row r="12">
      <c r="A12" s="4" t="inlineStr">
        <is>
          <t>Marketing et parrainage (Ar)</t>
        </is>
      </c>
      <c r="B12" s="14" t="n">
        <v>150000</v>
      </c>
    </row>
    <row r="13">
      <c r="A13" s="4" t="inlineStr">
        <is>
          <t>Téléphone, data, frais mobile money (Ar)</t>
        </is>
      </c>
      <c r="B13" s="14" t="n">
        <v>60000</v>
      </c>
    </row>
    <row r="14">
      <c r="A14" s="4" t="inlineStr">
        <is>
          <t>Investissement initial (Ar)</t>
        </is>
      </c>
      <c r="B14" s="14" t="n">
        <v>500000</v>
      </c>
      <c r="C14" s="9" t="inlineStr">
        <is>
          <t>sacs, balance, enseigne</t>
        </is>
      </c>
    </row>
    <row r="16" ht="22" customHeight="1">
      <c r="A16" s="3" t="inlineStr">
        <is>
          <t>RÉSULTATS</t>
        </is>
      </c>
    </row>
    <row r="17">
      <c r="A17" s="5" t="inlineStr">
        <is>
          <t>Volume d'affaires mensuel (GMV)</t>
        </is>
      </c>
      <c r="B17" s="16">
        <f>B5*B6*B7</f>
        <v/>
      </c>
    </row>
    <row r="18">
      <c r="A18" s="4" t="inlineStr">
        <is>
          <t>Nombre de commandes par mois</t>
        </is>
      </c>
      <c r="B18" s="26">
        <f>B6*B7</f>
        <v/>
      </c>
    </row>
    <row r="19">
      <c r="A19" s="5" t="inlineStr">
        <is>
          <t>Marge brute</t>
        </is>
      </c>
      <c r="B19" s="16">
        <f>B17*B8</f>
        <v/>
      </c>
    </row>
    <row r="20">
      <c r="A20" s="4" t="inlineStr">
        <is>
          <t>Charges fixes</t>
        </is>
      </c>
      <c r="B20" s="17">
        <f>B9+B10+B11+B12+B13</f>
        <v/>
      </c>
    </row>
    <row r="21">
      <c r="A21" s="5" t="inlineStr">
        <is>
          <t>RÉSULTAT NET MENSUEL</t>
        </is>
      </c>
      <c r="B21" s="18">
        <f>B19-B20</f>
        <v/>
      </c>
    </row>
    <row r="22">
      <c r="A22" s="5" t="inlineStr">
        <is>
          <t>Marge nette (en % du GMV)</t>
        </is>
      </c>
      <c r="B22" s="19">
        <f>IF(B17=0,0,B21/B17)</f>
        <v/>
      </c>
    </row>
    <row r="23">
      <c r="A23" s="5" t="inlineStr">
        <is>
          <t>Seuil de rentabilité (GMV mensuel)</t>
        </is>
      </c>
      <c r="B23" s="16">
        <f>IF(B8=0,0,B20/B8)</f>
        <v/>
      </c>
    </row>
    <row r="24">
      <c r="A24" s="5" t="inlineStr">
        <is>
          <t>Soit un nombre de commandes</t>
        </is>
      </c>
      <c r="B24" s="27">
        <f>IF(B5=0,0,B23/B5)</f>
        <v/>
      </c>
    </row>
    <row r="25">
      <c r="A25" s="5" t="inlineStr">
        <is>
          <t>Retour sur investissement</t>
        </is>
      </c>
      <c r="B25" s="20">
        <f>IF(B21&gt;0,B14/B21,"non rentable")</f>
        <v/>
      </c>
    </row>
    <row r="27" ht="22" customHeight="1">
      <c r="A27" s="3" t="inlineStr">
        <is>
          <t>SENSIBILITÉ — GMV mensuel</t>
        </is>
      </c>
    </row>
    <row r="28">
      <c r="A28" s="21" t="inlineStr">
        <is>
          <t>GMV mensuel</t>
        </is>
      </c>
      <c r="B28" s="21" t="inlineStr">
        <is>
          <t>Marge brute</t>
        </is>
      </c>
      <c r="C28" s="21" t="inlineStr">
        <is>
          <t>Charges fixes</t>
        </is>
      </c>
      <c r="D28" s="21" t="inlineStr">
        <is>
          <t>Résultat net</t>
        </is>
      </c>
    </row>
    <row r="29">
      <c r="A29" s="24" t="n">
        <v>10000000</v>
      </c>
      <c r="B29" s="24">
        <f>A29*B8</f>
        <v/>
      </c>
      <c r="C29" s="24">
        <f>B20</f>
        <v/>
      </c>
      <c r="D29" s="24">
        <f>B29-C29</f>
        <v/>
      </c>
    </row>
    <row r="30">
      <c r="A30" s="24" t="n">
        <v>20000000</v>
      </c>
      <c r="B30" s="24">
        <f>A30*B8</f>
        <v/>
      </c>
      <c r="C30" s="24">
        <f>B20</f>
        <v/>
      </c>
      <c r="D30" s="24">
        <f>B30-C30</f>
        <v/>
      </c>
    </row>
    <row r="31">
      <c r="A31" s="24" t="n">
        <v>33750000</v>
      </c>
      <c r="B31" s="24">
        <f>A31*B8</f>
        <v/>
      </c>
      <c r="C31" s="24">
        <f>B20</f>
        <v/>
      </c>
      <c r="D31" s="24">
        <f>B31-C31</f>
        <v/>
      </c>
    </row>
    <row r="32">
      <c r="A32" s="24" t="n">
        <v>60000000</v>
      </c>
      <c r="B32" s="24">
        <f>A32*B8</f>
        <v/>
      </c>
      <c r="C32" s="24">
        <f>B20</f>
        <v/>
      </c>
      <c r="D32" s="24">
        <f>B32-C32</f>
        <v/>
      </c>
    </row>
    <row r="33">
      <c r="A33" s="24" t="n">
        <v>100000000</v>
      </c>
      <c r="B33" s="24">
        <f>A33*B8</f>
        <v/>
      </c>
      <c r="C33" s="24">
        <f>B20</f>
        <v/>
      </c>
      <c r="D33" s="24">
        <f>B33-C33</f>
        <v/>
      </c>
    </row>
  </sheetData>
  <mergeCells count="5">
    <mergeCell ref="A2:F2"/>
    <mergeCell ref="A16:F16"/>
    <mergeCell ref="A1:F1"/>
    <mergeCell ref="A27:F27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PLAN C — Logistique urbaine B2B</t>
        </is>
      </c>
    </row>
    <row r="2">
      <c r="A2" s="2" t="inlineStr">
        <is>
          <t>Coursier moto, abonnements restaurants et e-commerçants</t>
        </is>
      </c>
    </row>
    <row r="4" ht="22" customHeight="1">
      <c r="A4" s="3" t="inlineStr">
        <is>
          <t>HYPOTHÈSES (à modifier)</t>
        </is>
      </c>
    </row>
    <row r="5">
      <c r="A5" s="4" t="inlineStr">
        <is>
          <t>Nombre de motos</t>
        </is>
      </c>
      <c r="B5" s="10" t="n">
        <v>3</v>
      </c>
      <c r="C5" s="9" t="inlineStr">
        <is>
          <t>démarrer avec 1 si le carnet est vide</t>
        </is>
      </c>
    </row>
    <row r="6">
      <c r="A6" s="4" t="inlineStr">
        <is>
          <t>Courses par moto et par jour</t>
        </is>
      </c>
      <c r="B6" s="10" t="n">
        <v>20</v>
      </c>
      <c r="C6" s="9" t="inlineStr">
        <is>
          <t>maximum réaliste en circulation dense</t>
        </is>
      </c>
    </row>
    <row r="7">
      <c r="A7" s="4" t="inlineStr">
        <is>
          <t>Tarif moyen par course (Ar)</t>
        </is>
      </c>
      <c r="B7" s="14" t="n">
        <v>5000</v>
      </c>
      <c r="C7" s="9" t="inlineStr">
        <is>
          <t>4 000-7 000 Ar intra-Tana</t>
        </is>
      </c>
    </row>
    <row r="8">
      <c r="A8" s="4" t="inlineStr">
        <is>
          <t>Jours d'activité par mois</t>
        </is>
      </c>
      <c r="B8" s="10" t="n">
        <v>26</v>
      </c>
    </row>
    <row r="9">
      <c r="A9" s="4" t="inlineStr">
        <is>
          <t>Commission du livreur (% du CA, carburant inclus)</t>
        </is>
      </c>
      <c r="B9" s="11" t="n">
        <v>0.4</v>
      </c>
      <c r="C9" s="9" t="inlineStr">
        <is>
          <t>standard du marché</t>
        </is>
      </c>
    </row>
    <row r="10">
      <c r="A10" s="4" t="inlineStr">
        <is>
          <t>Entretien par moto et par mois (Ar)</t>
        </is>
      </c>
      <c r="B10" s="14" t="n">
        <v>70000</v>
      </c>
    </row>
    <row r="11">
      <c r="A11" s="4" t="inlineStr">
        <is>
          <t>Assurance par moto et par mois (Ar)</t>
        </is>
      </c>
      <c r="B11" s="14" t="n">
        <v>25000</v>
      </c>
    </row>
    <row r="12">
      <c r="A12" s="4" t="inlineStr">
        <is>
          <t>Superviseur / dispatch (Ar)</t>
        </is>
      </c>
      <c r="B12" s="14" t="n">
        <v>600000</v>
      </c>
      <c r="C12" s="9" t="inlineStr">
        <is>
          <t>0 si vous dispatchez vous-même</t>
        </is>
      </c>
    </row>
    <row r="13">
      <c r="A13" s="4" t="inlineStr">
        <is>
          <t>Local et parking (Ar)</t>
        </is>
      </c>
      <c r="B13" s="14" t="n">
        <v>250000</v>
      </c>
    </row>
    <row r="14">
      <c r="A14" s="4" t="inlineStr">
        <is>
          <t>Marketing (Ar)</t>
        </is>
      </c>
      <c r="B14" s="14" t="n">
        <v>200000</v>
      </c>
    </row>
    <row r="15">
      <c r="A15" s="4" t="inlineStr">
        <is>
          <t>Administration (Ar)</t>
        </is>
      </c>
      <c r="B15" s="14" t="n">
        <v>150000</v>
      </c>
    </row>
    <row r="16">
      <c r="A16" s="4" t="inlineStr">
        <is>
          <t>Prix d'une moto (Ar)</t>
        </is>
      </c>
      <c r="B16" s="14" t="n">
        <v>4250000</v>
      </c>
    </row>
    <row r="17">
      <c r="A17" s="4" t="inlineStr">
        <is>
          <t>Équipement par moto (Ar)</t>
        </is>
      </c>
      <c r="B17" s="14" t="n">
        <v>250000</v>
      </c>
      <c r="C17" s="9" t="inlineStr">
        <is>
          <t>casque, caisse, immatriculation</t>
        </is>
      </c>
    </row>
    <row r="18">
      <c r="A18" s="4" t="inlineStr">
        <is>
          <t>Fonds de roulement (Ar)</t>
        </is>
      </c>
      <c r="B18" s="14" t="n">
        <v>1000000</v>
      </c>
    </row>
    <row r="20" ht="22" customHeight="1">
      <c r="A20" s="3" t="inlineStr">
        <is>
          <t>RÉSULTATS</t>
        </is>
      </c>
    </row>
    <row r="21">
      <c r="A21" s="5" t="inlineStr">
        <is>
          <t>Chiffre d'affaires mensuel</t>
        </is>
      </c>
      <c r="B21" s="16">
        <f>B5*B6*B7*B8</f>
        <v/>
      </c>
    </row>
    <row r="22">
      <c r="A22" s="4" t="inlineStr">
        <is>
          <t>Commissions des livreurs</t>
        </is>
      </c>
      <c r="B22" s="17">
        <f>-B21*B9</f>
        <v/>
      </c>
    </row>
    <row r="23">
      <c r="A23" s="4" t="inlineStr">
        <is>
          <t>Entretien + assurance</t>
        </is>
      </c>
      <c r="B23" s="17">
        <f>-B5*(B10+B11)</f>
        <v/>
      </c>
    </row>
    <row r="24">
      <c r="A24" s="5" t="inlineStr">
        <is>
          <t>Marge sur coûts variables</t>
        </is>
      </c>
      <c r="B24" s="16">
        <f>B21+B22+B23</f>
        <v/>
      </c>
    </row>
    <row r="25">
      <c r="A25" s="4" t="inlineStr">
        <is>
          <t>Charges fixes</t>
        </is>
      </c>
      <c r="B25" s="17">
        <f>B12+B13+B14+B15</f>
        <v/>
      </c>
    </row>
    <row r="26">
      <c r="A26" s="5" t="inlineStr">
        <is>
          <t>RÉSULTAT NET MENSUEL</t>
        </is>
      </c>
      <c r="B26" s="18">
        <f>B24-B25</f>
        <v/>
      </c>
    </row>
    <row r="27">
      <c r="A27" s="5" t="inlineStr">
        <is>
          <t>Marge nette</t>
        </is>
      </c>
      <c r="B27" s="19">
        <f>IF(B21=0,0,B26/B21)</f>
        <v/>
      </c>
    </row>
    <row r="28">
      <c r="A28" s="5" t="inlineStr">
        <is>
          <t>Investissement total</t>
        </is>
      </c>
      <c r="B28" s="16">
        <f>B5*(B16+B17)+B18</f>
        <v/>
      </c>
    </row>
    <row r="29">
      <c r="A29" s="5" t="inlineStr">
        <is>
          <t>Retour sur investissement</t>
        </is>
      </c>
      <c r="B29" s="20">
        <f>IF(B26&gt;0,B28/B26,"non rentable")</f>
        <v/>
      </c>
    </row>
    <row r="31" ht="22" customHeight="1">
      <c r="A31" s="3" t="inlineStr">
        <is>
          <t>SENSIBILITÉ — nombre de motos (superviseur activé à partir de 2 motos)</t>
        </is>
      </c>
    </row>
    <row r="32">
      <c r="A32" s="21" t="inlineStr">
        <is>
          <t>Motos</t>
        </is>
      </c>
      <c r="B32" s="21" t="inlineStr">
        <is>
          <t>CA mensuel</t>
        </is>
      </c>
      <c r="C32" s="21" t="inlineStr">
        <is>
          <t>Marge variable</t>
        </is>
      </c>
      <c r="D32" s="21" t="inlineStr">
        <is>
          <t>Charges fixes</t>
        </is>
      </c>
      <c r="E32" s="21" t="inlineStr">
        <is>
          <t>Résultat net</t>
        </is>
      </c>
    </row>
    <row r="33">
      <c r="A33" s="22" t="n">
        <v>1</v>
      </c>
      <c r="B33" s="24">
        <f>A33*B6*B7*B8</f>
        <v/>
      </c>
      <c r="C33" s="24">
        <f>B33*(1-B9)-A33*(B10+B11)</f>
        <v/>
      </c>
      <c r="D33" s="24">
        <f>B13+B14+B15+IF(A33&gt;1,B12,0)</f>
        <v/>
      </c>
      <c r="E33" s="24">
        <f>C33-D33</f>
        <v/>
      </c>
    </row>
    <row r="34">
      <c r="A34" s="22" t="n">
        <v>2</v>
      </c>
      <c r="B34" s="24">
        <f>A34*B6*B7*B8</f>
        <v/>
      </c>
      <c r="C34" s="24">
        <f>B34*(1-B9)-A34*(B10+B11)</f>
        <v/>
      </c>
      <c r="D34" s="24">
        <f>B13+B14+B15+IF(A34&gt;1,B12,0)</f>
        <v/>
      </c>
      <c r="E34" s="24">
        <f>C34-D34</f>
        <v/>
      </c>
    </row>
    <row r="35">
      <c r="A35" s="22" t="n">
        <v>3</v>
      </c>
      <c r="B35" s="24">
        <f>A35*B6*B7*B8</f>
        <v/>
      </c>
      <c r="C35" s="24">
        <f>B35*(1-B9)-A35*(B10+B11)</f>
        <v/>
      </c>
      <c r="D35" s="24">
        <f>B13+B14+B15+IF(A35&gt;1,B12,0)</f>
        <v/>
      </c>
      <c r="E35" s="24">
        <f>C35-D35</f>
        <v/>
      </c>
    </row>
    <row r="36">
      <c r="A36" s="22" t="n">
        <v>4</v>
      </c>
      <c r="B36" s="24">
        <f>A36*B6*B7*B8</f>
        <v/>
      </c>
      <c r="C36" s="24">
        <f>B36*(1-B9)-A36*(B10+B11)</f>
        <v/>
      </c>
      <c r="D36" s="24">
        <f>B13+B14+B15+IF(A36&gt;1,B12,0)</f>
        <v/>
      </c>
      <c r="E36" s="24">
        <f>C36-D36</f>
        <v/>
      </c>
    </row>
    <row r="37">
      <c r="A37" s="22" t="n">
        <v>6</v>
      </c>
      <c r="B37" s="24">
        <f>A37*B6*B7*B8</f>
        <v/>
      </c>
      <c r="C37" s="24">
        <f>B37*(1-B9)-A37*(B10+B11)</f>
        <v/>
      </c>
      <c r="D37" s="24">
        <f>B13+B14+B15+IF(A37&gt;1,B12,0)</f>
        <v/>
      </c>
      <c r="E37" s="24">
        <f>C37-D37</f>
        <v/>
      </c>
    </row>
  </sheetData>
  <mergeCells count="5">
    <mergeCell ref="A2:F2"/>
    <mergeCell ref="A1:F1"/>
    <mergeCell ref="A31:F31"/>
    <mergeCell ref="A4:F4"/>
    <mergeCell ref="A20:F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PLAN D — Eau : abonnement et kiosque</t>
        </is>
      </c>
    </row>
    <row r="2">
      <c r="A2" s="2" t="inlineStr">
        <is>
          <t>Bonbonnes de 20 L, contrats bureaux, livraison à domicile</t>
        </is>
      </c>
    </row>
    <row r="4" ht="22" customHeight="1">
      <c r="A4" s="3" t="inlineStr">
        <is>
          <t>HYPOTHÈSES (à modifier)</t>
        </is>
      </c>
    </row>
    <row r="5">
      <c r="A5" s="4" t="inlineStr">
        <is>
          <t>Bonbonnes livrées par jour</t>
        </is>
      </c>
      <c r="B5" s="10" t="n">
        <v>45</v>
      </c>
    </row>
    <row r="6">
      <c r="A6" s="4" t="inlineStr">
        <is>
          <t>Prix d'une bonbonne livrée (Ar)</t>
        </is>
      </c>
      <c r="B6" s="14" t="n">
        <v>2500</v>
      </c>
      <c r="C6" s="9" t="inlineStr">
        <is>
          <t>sous le prix de crise (3 000 Ar)</t>
        </is>
      </c>
    </row>
    <row r="7">
      <c r="A7" s="4" t="inlineStr">
        <is>
          <t>Bonbonnes vendues au kiosque par jour</t>
        </is>
      </c>
      <c r="B7" s="10" t="n">
        <v>15</v>
      </c>
    </row>
    <row r="8">
      <c r="A8" s="4" t="inlineStr">
        <is>
          <t>Prix au kiosque (Ar)</t>
        </is>
      </c>
      <c r="B8" s="14" t="n">
        <v>1500</v>
      </c>
    </row>
    <row r="9">
      <c r="A9" s="4" t="inlineStr">
        <is>
          <t>Jours d'activité par mois</t>
        </is>
      </c>
      <c r="B9" s="10" t="n">
        <v>26</v>
      </c>
    </row>
    <row r="10">
      <c r="A10" s="4" t="inlineStr">
        <is>
          <t>Coût variable par bonbonne (Ar)</t>
        </is>
      </c>
      <c r="B10" s="14" t="n">
        <v>350</v>
      </c>
      <c r="C10" s="9" t="inlineStr">
        <is>
          <t>eau, filtres, UV, amortissement</t>
        </is>
      </c>
    </row>
    <row r="11">
      <c r="A11" s="4" t="inlineStr">
        <is>
          <t>Employé de production et livraison (Ar)</t>
        </is>
      </c>
      <c r="B11" s="14" t="n">
        <v>450000</v>
      </c>
    </row>
    <row r="12">
      <c r="A12" s="4" t="inlineStr">
        <is>
          <t>Loyer du local (Ar)</t>
        </is>
      </c>
      <c r="B12" s="14" t="n">
        <v>350000</v>
      </c>
      <c r="C12" s="9" t="inlineStr">
        <is>
          <t>20 à 30 m²</t>
        </is>
      </c>
    </row>
    <row r="13">
      <c r="A13" s="4" t="inlineStr">
        <is>
          <t>Électricité et sauvegarde (Ar)</t>
        </is>
      </c>
      <c r="B13" s="14" t="n">
        <v>150000</v>
      </c>
    </row>
    <row r="14">
      <c r="A14" s="4" t="inlineStr">
        <is>
          <t>Transport (moto cargo / tricycle) (Ar)</t>
        </is>
      </c>
      <c r="B14" s="14" t="n">
        <v>300000</v>
      </c>
    </row>
    <row r="15">
      <c r="A15" s="4" t="inlineStr">
        <is>
          <t>Marketing et enseigne (Ar)</t>
        </is>
      </c>
      <c r="B15" s="14" t="n">
        <v>200000</v>
      </c>
    </row>
    <row r="16">
      <c r="A16" s="4" t="inlineStr">
        <is>
          <t>Investissement initial (Ar)</t>
        </is>
      </c>
      <c r="B16" s="14" t="n">
        <v>11500000</v>
      </c>
      <c r="C16" s="9" t="inlineStr">
        <is>
          <t>filtration, cuves, 120 bonbonnes, véhicule</t>
        </is>
      </c>
    </row>
    <row r="18" ht="22" customHeight="1">
      <c r="A18" s="3" t="inlineStr">
        <is>
          <t>RÉSULTATS</t>
        </is>
      </c>
    </row>
    <row r="19">
      <c r="A19" s="5" t="inlineStr">
        <is>
          <t>Chiffre d'affaires mensuel</t>
        </is>
      </c>
      <c r="B19" s="16">
        <f>(B5*B6+B7*B8)*B9</f>
        <v/>
      </c>
    </row>
    <row r="20">
      <c r="A20" s="4" t="inlineStr">
        <is>
          <t>Bonbonnes vendues par mois</t>
        </is>
      </c>
      <c r="B20" s="26">
        <f>(B5+B7)*B9</f>
        <v/>
      </c>
    </row>
    <row r="21">
      <c r="A21" s="4" t="inlineStr">
        <is>
          <t>Coûts variables</t>
        </is>
      </c>
      <c r="B21" s="17">
        <f>B20*B10</f>
        <v/>
      </c>
    </row>
    <row r="22">
      <c r="A22" s="5" t="inlineStr">
        <is>
          <t>Marge sur coûts variables</t>
        </is>
      </c>
      <c r="B22" s="16">
        <f>B19-B21</f>
        <v/>
      </c>
    </row>
    <row r="23">
      <c r="A23" s="4" t="inlineStr">
        <is>
          <t>Charges fixes</t>
        </is>
      </c>
      <c r="B23" s="17">
        <f>B11+B12+B13+B14+B15</f>
        <v/>
      </c>
    </row>
    <row r="24">
      <c r="A24" s="5" t="inlineStr">
        <is>
          <t>RÉSULTAT NET MENSUEL</t>
        </is>
      </c>
      <c r="B24" s="18">
        <f>B22-B23</f>
        <v/>
      </c>
    </row>
    <row r="25">
      <c r="A25" s="5" t="inlineStr">
        <is>
          <t>Marge nette</t>
        </is>
      </c>
      <c r="B25" s="19">
        <f>IF(B19=0,0,B24/B19)</f>
        <v/>
      </c>
    </row>
    <row r="26">
      <c r="A26" s="5" t="inlineStr">
        <is>
          <t>Contribution moyenne par bonbonne</t>
        </is>
      </c>
      <c r="B26" s="16">
        <f>IF(B20=0,0,B22/B20)</f>
        <v/>
      </c>
    </row>
    <row r="27">
      <c r="A27" s="5" t="inlineStr">
        <is>
          <t>Seuil de rentabilité (bonbonnes par jour)</t>
        </is>
      </c>
      <c r="B27" s="28">
        <f>IF(B26=0,0,B23/(B26*B9))</f>
        <v/>
      </c>
    </row>
    <row r="28">
      <c r="A28" s="5" t="inlineStr">
        <is>
          <t>Retour sur investissement</t>
        </is>
      </c>
      <c r="B28" s="20">
        <f>IF(B24&gt;0,B16/B24,"non rentable")</f>
        <v/>
      </c>
    </row>
    <row r="30" ht="22" customHeight="1">
      <c r="A30" s="3" t="inlineStr">
        <is>
          <t>SENSIBILITÉ — volume quotidien (répartition 75 % livré / 25 % kiosque)</t>
        </is>
      </c>
    </row>
    <row r="31">
      <c r="A31" s="21" t="inlineStr">
        <is>
          <t>Bonbonnes / jour</t>
        </is>
      </c>
      <c r="B31" s="21" t="inlineStr">
        <is>
          <t>CA mensuel</t>
        </is>
      </c>
      <c r="C31" s="21" t="inlineStr">
        <is>
          <t>Coûts variables</t>
        </is>
      </c>
      <c r="D31" s="21" t="inlineStr">
        <is>
          <t>Charges fixes</t>
        </is>
      </c>
      <c r="E31" s="21" t="inlineStr">
        <is>
          <t>Résultat net</t>
        </is>
      </c>
    </row>
    <row r="32">
      <c r="A32" s="22" t="n">
        <v>20</v>
      </c>
      <c r="B32" s="24">
        <f>A32*(0.75*B6+0.25*B8)*B9</f>
        <v/>
      </c>
      <c r="C32" s="24">
        <f>A32*B9*B10</f>
        <v/>
      </c>
      <c r="D32" s="24">
        <f>B23</f>
        <v/>
      </c>
      <c r="E32" s="24">
        <f>B32-C32-D32</f>
        <v/>
      </c>
    </row>
    <row r="33">
      <c r="A33" s="22" t="n">
        <v>40</v>
      </c>
      <c r="B33" s="24">
        <f>A33*(0.75*B6+0.25*B8)*B9</f>
        <v/>
      </c>
      <c r="C33" s="24">
        <f>A33*B9*B10</f>
        <v/>
      </c>
      <c r="D33" s="24">
        <f>B23</f>
        <v/>
      </c>
      <c r="E33" s="24">
        <f>B33-C33-D33</f>
        <v/>
      </c>
    </row>
    <row r="34">
      <c r="A34" s="22" t="n">
        <v>60</v>
      </c>
      <c r="B34" s="24">
        <f>A34*(0.75*B6+0.25*B8)*B9</f>
        <v/>
      </c>
      <c r="C34" s="24">
        <f>A34*B9*B10</f>
        <v/>
      </c>
      <c r="D34" s="24">
        <f>B23</f>
        <v/>
      </c>
      <c r="E34" s="24">
        <f>B34-C34-D34</f>
        <v/>
      </c>
    </row>
    <row r="35">
      <c r="A35" s="22" t="n">
        <v>80</v>
      </c>
      <c r="B35" s="24">
        <f>A35*(0.75*B6+0.25*B8)*B9</f>
        <v/>
      </c>
      <c r="C35" s="24">
        <f>A35*B9*B10</f>
        <v/>
      </c>
      <c r="D35" s="24">
        <f>B23</f>
        <v/>
      </c>
      <c r="E35" s="24">
        <f>B35-C35-D35</f>
        <v/>
      </c>
    </row>
    <row r="36">
      <c r="A36" s="22" t="n">
        <v>100</v>
      </c>
      <c r="B36" s="24">
        <f>A36*(0.75*B6+0.25*B8)*B9</f>
        <v/>
      </c>
      <c r="C36" s="24">
        <f>A36*B9*B10</f>
        <v/>
      </c>
      <c r="D36" s="24">
        <f>B23</f>
        <v/>
      </c>
      <c r="E36" s="24">
        <f>B36-C36-D36</f>
        <v/>
      </c>
    </row>
  </sheetData>
  <mergeCells count="5">
    <mergeCell ref="A2:F2"/>
    <mergeCell ref="A1:F1"/>
    <mergeCell ref="A18:F18"/>
    <mergeCell ref="A4:F4"/>
    <mergeCell ref="A30:F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1" ht="34" customHeight="1">
      <c r="A1" s="1" t="inlineStr">
        <is>
          <t>PLAN E — Froid &amp; solaire</t>
        </is>
      </c>
    </row>
    <row r="2">
      <c r="A2" s="2" t="inlineStr">
        <is>
          <t>Installation, garantie et contrat de maintenance</t>
        </is>
      </c>
    </row>
    <row r="4" ht="22" customHeight="1">
      <c r="A4" s="3" t="inlineStr">
        <is>
          <t>HYPOTHÈSES (à modifier)</t>
        </is>
      </c>
    </row>
    <row r="5">
      <c r="A5" s="4" t="inlineStr">
        <is>
          <t>Installations par mois</t>
        </is>
      </c>
      <c r="B5" s="10" t="n">
        <v>2</v>
      </c>
      <c r="C5" s="9" t="inlineStr">
        <is>
          <t>démarrer à 1</t>
        </is>
      </c>
    </row>
    <row r="6">
      <c r="A6" s="4" t="inlineStr">
        <is>
          <t>Prix moyen d'une installation (Ar)</t>
        </is>
      </c>
      <c r="B6" s="14" t="n">
        <v>14000000</v>
      </c>
      <c r="C6" s="9" t="inlineStr">
        <is>
          <t>3 kW + batterie + congélateur</t>
        </is>
      </c>
    </row>
    <row r="7">
      <c r="A7" s="4" t="inlineStr">
        <is>
          <t>Coût du matériel (% du prix)</t>
        </is>
      </c>
      <c r="B7" s="11" t="n">
        <v>0.68</v>
      </c>
      <c r="C7" s="9" t="inlineStr">
        <is>
          <t>panneaux, onduleur, batterie</t>
        </is>
      </c>
    </row>
    <row r="8">
      <c r="A8" s="4" t="inlineStr">
        <is>
          <t>Main-d'œuvre par installation (Ar)</t>
        </is>
      </c>
      <c r="B8" s="14" t="n">
        <v>400000</v>
      </c>
    </row>
    <row r="9">
      <c r="A9" s="4" t="inlineStr">
        <is>
          <t>Nombre de techniciens</t>
        </is>
      </c>
      <c r="B9" s="10" t="n">
        <v>2</v>
      </c>
    </row>
    <row r="10">
      <c r="A10" s="4" t="inlineStr">
        <is>
          <t>Salaire d'un technicien (Ar)</t>
        </is>
      </c>
      <c r="B10" s="14" t="n">
        <v>900000</v>
      </c>
      <c r="C10" s="9" t="inlineStr">
        <is>
          <t>profil rare et cher</t>
        </is>
      </c>
    </row>
    <row r="11">
      <c r="A11" s="4" t="inlineStr">
        <is>
          <t>Charges sociales</t>
        </is>
      </c>
      <c r="B11" s="11" t="n">
        <v>0.13</v>
      </c>
    </row>
    <row r="12">
      <c r="A12" s="4" t="inlineStr">
        <is>
          <t>Local / showroom (Ar)</t>
        </is>
      </c>
      <c r="B12" s="14" t="n">
        <v>700000</v>
      </c>
    </row>
    <row r="13">
      <c r="A13" s="4" t="inlineStr">
        <is>
          <t>Marketing (Ar)</t>
        </is>
      </c>
      <c r="B13" s="14" t="n">
        <v>500000</v>
      </c>
    </row>
    <row r="14">
      <c r="A14" s="4" t="inlineStr">
        <is>
          <t>Administration (Ar)</t>
        </is>
      </c>
      <c r="B14" s="14" t="n">
        <v>300000</v>
      </c>
    </row>
    <row r="15">
      <c r="A15" s="4" t="inlineStr">
        <is>
          <t>Investissement initial (Ar)</t>
        </is>
      </c>
      <c r="B15" s="14" t="n">
        <v>5000000</v>
      </c>
      <c r="C15" s="9" t="inlineStr">
        <is>
          <t>outillage + kit de démonstration</t>
        </is>
      </c>
    </row>
    <row r="17" ht="22" customHeight="1">
      <c r="A17" s="3" t="inlineStr">
        <is>
          <t>RÉSULTATS</t>
        </is>
      </c>
    </row>
    <row r="18">
      <c r="A18" s="5" t="inlineStr">
        <is>
          <t>Chiffre d'affaires mensuel</t>
        </is>
      </c>
      <c r="B18" s="16">
        <f>B5*B6</f>
        <v/>
      </c>
    </row>
    <row r="19">
      <c r="A19" s="4" t="inlineStr">
        <is>
          <t>Coût du matériel</t>
        </is>
      </c>
      <c r="B19" s="17">
        <f>B18*B7</f>
        <v/>
      </c>
    </row>
    <row r="20">
      <c r="A20" s="4" t="inlineStr">
        <is>
          <t>Main-d'œuvre d'installation</t>
        </is>
      </c>
      <c r="B20" s="17">
        <f>B5*B8</f>
        <v/>
      </c>
    </row>
    <row r="21">
      <c r="A21" s="5" t="inlineStr">
        <is>
          <t>Marge brute</t>
        </is>
      </c>
      <c r="B21" s="16">
        <f>B18-B19-B20</f>
        <v/>
      </c>
    </row>
    <row r="22">
      <c r="A22" s="4" t="inlineStr">
        <is>
          <t>Charges fixes</t>
        </is>
      </c>
      <c r="B22" s="17">
        <f>B9*B10*(1+B11)+B12+B13+B14</f>
        <v/>
      </c>
    </row>
    <row r="23">
      <c r="A23" s="5" t="inlineStr">
        <is>
          <t>RÉSULTAT NET MENSUEL</t>
        </is>
      </c>
      <c r="B23" s="18">
        <f>B21-B22</f>
        <v/>
      </c>
    </row>
    <row r="24">
      <c r="A24" s="5" t="inlineStr">
        <is>
          <t>Marge nette</t>
        </is>
      </c>
      <c r="B24" s="19">
        <f>IF(B18=0,0,B23/B18)</f>
        <v/>
      </c>
    </row>
    <row r="25">
      <c r="A25" s="5" t="inlineStr">
        <is>
          <t>Contribution par installation</t>
        </is>
      </c>
      <c r="B25" s="16">
        <f>B6*(1-B7)-B8</f>
        <v/>
      </c>
    </row>
    <row r="26">
      <c r="A26" s="5" t="inlineStr">
        <is>
          <t>Seuil de rentabilité (installations / mois)</t>
        </is>
      </c>
      <c r="B26" s="28">
        <f>IF(B25=0,0,B22/B25)</f>
        <v/>
      </c>
    </row>
    <row r="27">
      <c r="A27" s="5" t="inlineStr">
        <is>
          <t>Retour sur investissement</t>
        </is>
      </c>
      <c r="B27" s="20">
        <f>IF(B23&gt;0,B15/B23,"non rentable")</f>
        <v/>
      </c>
    </row>
    <row r="29" ht="22" customHeight="1">
      <c r="A29" s="3" t="inlineStr">
        <is>
          <t>SENSIBILITÉ — nombre d'installations par mois</t>
        </is>
      </c>
    </row>
    <row r="30">
      <c r="A30" s="21" t="inlineStr">
        <is>
          <t>Installations</t>
        </is>
      </c>
      <c r="B30" s="21" t="inlineStr">
        <is>
          <t>CA mensuel</t>
        </is>
      </c>
      <c r="C30" s="21" t="inlineStr">
        <is>
          <t>Marge brute</t>
        </is>
      </c>
      <c r="D30" s="21" t="inlineStr">
        <is>
          <t>Charges fixes</t>
        </is>
      </c>
      <c r="E30" s="21" t="inlineStr">
        <is>
          <t>Résultat net</t>
        </is>
      </c>
    </row>
    <row r="31">
      <c r="A31" s="22" t="n">
        <v>1</v>
      </c>
      <c r="B31" s="24">
        <f>A31*B6</f>
        <v/>
      </c>
      <c r="C31" s="24">
        <f>B31*(1-B7)-A31*B8</f>
        <v/>
      </c>
      <c r="D31" s="24">
        <f>B22</f>
        <v/>
      </c>
      <c r="E31" s="24">
        <f>C31-D31</f>
        <v/>
      </c>
    </row>
    <row r="32">
      <c r="A32" s="22" t="n">
        <v>2</v>
      </c>
      <c r="B32" s="24">
        <f>A32*B6</f>
        <v/>
      </c>
      <c r="C32" s="24">
        <f>B32*(1-B7)-A32*B8</f>
        <v/>
      </c>
      <c r="D32" s="24">
        <f>B22</f>
        <v/>
      </c>
      <c r="E32" s="24">
        <f>C32-D32</f>
        <v/>
      </c>
    </row>
    <row r="33">
      <c r="A33" s="22" t="n">
        <v>3</v>
      </c>
      <c r="B33" s="24">
        <f>A33*B6</f>
        <v/>
      </c>
      <c r="C33" s="24">
        <f>B33*(1-B7)-A33*B8</f>
        <v/>
      </c>
      <c r="D33" s="24">
        <f>B22</f>
        <v/>
      </c>
      <c r="E33" s="24">
        <f>C33-D33</f>
        <v/>
      </c>
    </row>
    <row r="34">
      <c r="A34" s="22" t="n">
        <v>4</v>
      </c>
      <c r="B34" s="24">
        <f>A34*B6</f>
        <v/>
      </c>
      <c r="C34" s="24">
        <f>B34*(1-B7)-A34*B8</f>
        <v/>
      </c>
      <c r="D34" s="24">
        <f>B22</f>
        <v/>
      </c>
      <c r="E34" s="24">
        <f>C34-D34</f>
        <v/>
      </c>
    </row>
    <row r="35">
      <c r="A35" s="22" t="n">
        <v>6</v>
      </c>
      <c r="B35" s="24">
        <f>A35*B6</f>
        <v/>
      </c>
      <c r="C35" s="24">
        <f>B35*(1-B7)-A35*B8</f>
        <v/>
      </c>
      <c r="D35" s="24">
        <f>B22</f>
        <v/>
      </c>
      <c r="E35" s="24">
        <f>C35-D35</f>
        <v/>
      </c>
    </row>
  </sheetData>
  <mergeCells count="5">
    <mergeCell ref="A2:F2"/>
    <mergeCell ref="A1:F1"/>
    <mergeCell ref="A17:F17"/>
    <mergeCell ref="A4:F4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4" customWidth="1" min="4" max="4"/>
    <col width="14" customWidth="1" min="5" max="5"/>
    <col width="34" customWidth="1" min="6" max="6"/>
  </cols>
  <sheetData>
    <row r="1" ht="34" customHeight="1">
      <c r="A1" s="1" t="inlineStr">
        <is>
          <t>COMPARAISON DES 5 MODÈLES</t>
        </is>
      </c>
    </row>
    <row r="2">
      <c r="A2" s="2" t="inlineStr">
        <is>
          <t>Synthèse automatique — les valeurs se mettent à jour avec chaque onglet</t>
        </is>
      </c>
    </row>
    <row r="4" ht="22" customHeight="1">
      <c r="A4" s="3" t="inlineStr">
        <is>
          <t>TABLEAU DE BORD</t>
        </is>
      </c>
    </row>
    <row r="5">
      <c r="A5" s="21" t="inlineStr">
        <is>
          <t>Modèle</t>
        </is>
      </c>
      <c r="B5" s="21" t="inlineStr">
        <is>
          <t>Capital (Ar)</t>
        </is>
      </c>
      <c r="C5" s="21" t="inlineStr">
        <is>
          <t>Résultat net / mois</t>
        </is>
      </c>
      <c r="D5" s="21" t="inlineStr">
        <is>
          <t>Marge nette</t>
        </is>
      </c>
      <c r="E5" s="21" t="inlineStr">
        <is>
          <t>Retour (mois)</t>
        </is>
      </c>
      <c r="F5" s="21" t="inlineStr">
        <is>
          <t>Commentaire</t>
        </is>
      </c>
    </row>
    <row r="6">
      <c r="A6" s="29" t="inlineStr">
        <is>
          <t>A — Micro-agence numérique</t>
        </is>
      </c>
      <c r="B6" s="24">
        <f>'A-Numerique'!B17</f>
        <v/>
      </c>
      <c r="C6" s="24">
        <f>'A-Numerique'!B25</f>
        <v/>
      </c>
      <c r="D6" s="25">
        <f>'A-Numerique'!B26</f>
        <v/>
      </c>
      <c r="E6" s="30">
        <f>'A-Numerique'!B28</f>
        <v/>
      </c>
      <c r="F6" s="31" t="inlineStr">
        <is>
          <t>Le meilleur ratio rendement / capital</t>
        </is>
      </c>
    </row>
    <row r="7">
      <c r="A7" s="29" t="inlineStr">
        <is>
          <t>B — Achats groupés</t>
        </is>
      </c>
      <c r="B7" s="24">
        <f>'B-Achats'!B14</f>
        <v/>
      </c>
      <c r="C7" s="24">
        <f>'B-Achats'!B21</f>
        <v/>
      </c>
      <c r="D7" s="25">
        <f>'B-Achats'!B22</f>
        <v/>
      </c>
      <c r="E7" s="30">
        <f>'B-Achats'!B25</f>
        <v/>
      </c>
      <c r="F7" s="31" t="inlineStr">
        <is>
          <t>Faible marge, fort volume, zéro stock</t>
        </is>
      </c>
    </row>
    <row r="8">
      <c r="A8" s="29" t="inlineStr">
        <is>
          <t>C — Logistique urbaine</t>
        </is>
      </c>
      <c r="B8" s="24">
        <f>'C-Logistique'!B28</f>
        <v/>
      </c>
      <c r="C8" s="24">
        <f>'C-Logistique'!B26</f>
        <v/>
      </c>
      <c r="D8" s="25">
        <f>'C-Logistique'!B27</f>
        <v/>
      </c>
      <c r="E8" s="30">
        <f>'C-Logistique'!B29</f>
        <v/>
      </c>
      <c r="F8" s="31" t="inlineStr">
        <is>
          <t>Rentable à partir de 2-3 motos</t>
        </is>
      </c>
    </row>
    <row r="9">
      <c r="A9" s="29" t="inlineStr">
        <is>
          <t>D — Eau</t>
        </is>
      </c>
      <c r="B9" s="24">
        <f>'D-Eau'!B16</f>
        <v/>
      </c>
      <c r="C9" s="24">
        <f>'D-Eau'!B24</f>
        <v/>
      </c>
      <c r="D9" s="25">
        <f>'D-Eau'!B25</f>
        <v/>
      </c>
      <c r="E9" s="30">
        <f>'D-Eau'!B28</f>
        <v/>
      </c>
      <c r="F9" s="31" t="inlineStr">
        <is>
          <t>Business de densité : 30 bonbonnes/jour minimum</t>
        </is>
      </c>
    </row>
    <row r="10">
      <c r="A10" s="29" t="inlineStr">
        <is>
          <t>E — Froid &amp; solaire</t>
        </is>
      </c>
      <c r="B10" s="24">
        <f>'E-Solaire'!B15</f>
        <v/>
      </c>
      <c r="C10" s="24">
        <f>'E-Solaire'!B23</f>
        <v/>
      </c>
      <c r="D10" s="25">
        <f>'E-Solaire'!B24</f>
        <v/>
      </c>
      <c r="E10" s="30">
        <f>'E-Solaire'!B27</f>
        <v/>
      </c>
      <c r="F10" s="31" t="inlineStr">
        <is>
          <t>Compétence technique = barrière à l'entrée</t>
        </is>
      </c>
    </row>
    <row r="12" ht="22" customHeight="1">
      <c r="A12" s="3" t="inlineStr">
        <is>
          <t>LECTURE</t>
        </is>
      </c>
    </row>
    <row r="13">
      <c r="A13" s="4" t="inlineStr">
        <is>
          <t>1. La micro-agence et le solaire offrent les meilleurs retours, mais exigent une compétence rare.</t>
        </is>
      </c>
    </row>
    <row r="14">
      <c r="A14" s="4" t="inlineStr">
        <is>
          <t>2. L'eau et la logistique sont des business de volume : la rentabilité dépend du taux d'utilisation.</t>
        </is>
      </c>
    </row>
    <row r="15">
      <c r="A15" s="4" t="inlineStr">
        <is>
          <t>3. Les achats groupés ont la marge la plus faible : ils ne fonctionnent que par le volume et la confiance.</t>
        </is>
      </c>
    </row>
    <row r="16">
      <c r="A16" s="4" t="inlineStr">
        <is>
          <t>4. Aucun de ces modèles ne devient rentable sans un minimum de clients récurrents.</t>
        </is>
      </c>
    </row>
    <row r="17">
      <c r="A17" s="4" t="inlineStr">
        <is>
          <t>5. Vérifiez chaque hypothèse sur le terrain avant d'engager du capital.</t>
        </is>
      </c>
    </row>
  </sheetData>
  <mergeCells count="9">
    <mergeCell ref="A2:F2"/>
    <mergeCell ref="A16:F16"/>
    <mergeCell ref="A13:F13"/>
    <mergeCell ref="A14:F14"/>
    <mergeCell ref="A1:F1"/>
    <mergeCell ref="A17:F17"/>
    <mergeCell ref="A12:F12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2026-10-30T12:15:02Z</dcterms:created>
  <dcterms:modified xsi:type="dcterms:W3CDTF">2026-10-30T12:15:02Z</dcterms:modified>
</cp:coreProperties>
</file>